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\\brooklands\home\student\2025\209227\"/>
    </mc:Choice>
  </mc:AlternateContent>
  <xr:revisionPtr revIDLastSave="0" documentId="13_ncr:1_{A323C66C-50B3-462A-BDD0-8E50D19F4919}" xr6:coauthVersionLast="36" xr6:coauthVersionMax="36" xr10:uidLastSave="{00000000-0000-0000-0000-000000000000}"/>
  <bookViews>
    <workbookView xWindow="0" yWindow="0" windowWidth="28800" windowHeight="12105" xr2:uid="{B2240940-56A9-42AE-A6D2-86B9E0096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9" i="1"/>
  <c r="I8" i="1"/>
  <c r="I7" i="1"/>
  <c r="I18" i="1" l="1"/>
  <c r="K12" i="1"/>
  <c r="I11" i="1"/>
  <c r="I13" i="1" l="1"/>
  <c r="D7" i="1"/>
  <c r="K13" i="1" l="1"/>
  <c r="D6" i="1"/>
  <c r="H9" i="1"/>
  <c r="H8" i="1"/>
  <c r="H7" i="1"/>
  <c r="D9" i="1"/>
  <c r="D8" i="1"/>
  <c r="H6" i="1"/>
  <c r="I14" i="1" l="1"/>
  <c r="K14" i="1"/>
  <c r="I10" i="1"/>
  <c r="I15" i="1" l="1"/>
  <c r="K15" i="1"/>
  <c r="I17" i="1"/>
  <c r="I19" i="1" s="1"/>
</calcChain>
</file>

<file path=xl/sharedStrings.xml><?xml version="1.0" encoding="utf-8"?>
<sst xmlns="http://schemas.openxmlformats.org/spreadsheetml/2006/main" count="32" uniqueCount="27">
  <si>
    <t>door area</t>
  </si>
  <si>
    <t>wall</t>
  </si>
  <si>
    <t>wall leng</t>
  </si>
  <si>
    <t>wall wi</t>
  </si>
  <si>
    <t>wall area</t>
  </si>
  <si>
    <t>door</t>
  </si>
  <si>
    <t>window l</t>
  </si>
  <si>
    <t>window w</t>
  </si>
  <si>
    <t>wind area</t>
  </si>
  <si>
    <t>paint area</t>
  </si>
  <si>
    <t>5L need</t>
  </si>
  <si>
    <t>3L need</t>
  </si>
  <si>
    <t>2L need</t>
  </si>
  <si>
    <t>1L need</t>
  </si>
  <si>
    <t>paint cost</t>
  </si>
  <si>
    <t>labour cost</t>
  </si>
  <si>
    <t>total cost</t>
  </si>
  <si>
    <t>yes</t>
  </si>
  <si>
    <t>area total</t>
  </si>
  <si>
    <t>no</t>
  </si>
  <si>
    <t>5L tin cost</t>
  </si>
  <si>
    <t>3L tin cost</t>
  </si>
  <si>
    <t>2L tin cost</t>
  </si>
  <si>
    <t>1L tin cost</t>
  </si>
  <si>
    <t>remainder</t>
  </si>
  <si>
    <t>Litre need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</si>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</sst>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 tint="0.59999389629810485"/>
        <bgColor indexed="65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5" fillId="4" borderId="0" applyNumberFormat="0" applyBorder="0" applyAlignment="0" applyProtection="0"/>
  </cellStyleXfs>
  <cellXfs count="27">
    <xf numFmtId="0" fontId="0" fillId="0" borderId="0" xfId="0"/>
    <xf numFmtId="0" fontId="3" fillId="0" borderId="2" xfId="0" applyFont="1" applyBorder="1"/>
    <xf numFmtId="0" fontId="3" fillId="0" borderId="3" xfId="0" applyFont="1" applyBorder="1"/>
    <xf numFmtId="0" fontId="4" fillId="2" borderId="4" xfId="1" applyFont="1" applyBorder="1"/>
    <xf numFmtId="0" fontId="2" fillId="3" borderId="4" xfId="2" applyFont="1" applyBorder="1"/>
    <xf numFmtId="0" fontId="2" fillId="3" borderId="5" xfId="2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" fillId="2" borderId="10" xfId="1" applyBorder="1"/>
    <xf numFmtId="0" fontId="1" fillId="2" borderId="12" xfId="1" applyBorder="1"/>
    <xf numFmtId="0" fontId="1" fillId="2" borderId="14" xfId="1" applyBorder="1"/>
    <xf numFmtId="0" fontId="3" fillId="0" borderId="16" xfId="0" applyFont="1" applyBorder="1"/>
    <xf numFmtId="0" fontId="3" fillId="0" borderId="17" xfId="0" applyFont="1" applyBorder="1"/>
    <xf numFmtId="0" fontId="2" fillId="3" borderId="2" xfId="2" applyBorder="1"/>
    <xf numFmtId="0" fontId="0" fillId="0" borderId="2" xfId="0" applyNumberFormat="1" applyBorder="1"/>
    <xf numFmtId="0" fontId="0" fillId="0" borderId="2" xfId="0" applyBorder="1"/>
    <xf numFmtId="0" fontId="5" fillId="4" borderId="11" xfId="3" applyBorder="1"/>
    <xf numFmtId="0" fontId="5" fillId="4" borderId="13" xfId="3" applyBorder="1"/>
    <xf numFmtId="0" fontId="5" fillId="4" borderId="15" xfId="3" applyBorder="1"/>
    <xf numFmtId="0" fontId="5" fillId="4" borderId="2" xfId="3" applyBorder="1"/>
    <xf numFmtId="0" fontId="5" fillId="4" borderId="9" xfId="3" applyBorder="1"/>
    <xf numFmtId="0" fontId="1" fillId="2" borderId="18" xfId="1" applyBorder="1"/>
    <xf numFmtId="0" fontId="5" fillId="4" borderId="19" xfId="3" applyBorder="1"/>
    <xf numFmtId="0" fontId="5" fillId="4" borderId="18" xfId="3" applyBorder="1"/>
    <xf numFmtId="0" fontId="5" fillId="4" borderId="20" xfId="3" applyBorder="1"/>
  </cellXfs>
  <cellStyles count="4">
    <cellStyle name="40% - Accent2" xfId="3" builtinId="35"/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46EF-1C2C-4A85-A648-609EC06194DD}">
  <dimension ref="A1:M19"/>
  <sheetViews>
    <sheetView tabSelected="1" workbookViewId="0">
      <selection activeCell="I12" sqref="I12"/>
    </sheetView>
  </sheetViews>
  <sheetFormatPr defaultRowHeight="15" x14ac:dyDescent="0.25"/>
  <sheetData>
    <row r="1" spans="1:13" ht="19.5" customHeight="1" thickBot="1" x14ac:dyDescent="0.3">
      <c r="C1" s="23" t="s">
        <v>0</v>
      </c>
      <c r="D1" s="24">
        <v>2.5</v>
      </c>
    </row>
    <row r="2" spans="1:13" ht="18.75" customHeight="1" thickBot="1" x14ac:dyDescent="0.3">
      <c r="C2" s="23" t="s">
        <v>0</v>
      </c>
      <c r="D2" s="25">
        <v>10</v>
      </c>
      <c r="L2" s="10" t="s">
        <v>20</v>
      </c>
      <c r="M2" s="18">
        <v>50</v>
      </c>
    </row>
    <row r="3" spans="1:13" ht="15.75" thickBot="1" x14ac:dyDescent="0.3">
      <c r="C3" s="23" t="s">
        <v>0</v>
      </c>
      <c r="D3" s="25">
        <v>5</v>
      </c>
      <c r="L3" s="11" t="s">
        <v>21</v>
      </c>
      <c r="M3" s="19">
        <v>35</v>
      </c>
    </row>
    <row r="4" spans="1:13" ht="15.75" thickBot="1" x14ac:dyDescent="0.3">
      <c r="C4" s="23" t="s">
        <v>0</v>
      </c>
      <c r="D4" s="26">
        <v>2</v>
      </c>
      <c r="L4" s="11" t="s">
        <v>22</v>
      </c>
      <c r="M4" s="19">
        <v>25</v>
      </c>
    </row>
    <row r="5" spans="1:13" ht="15.75" thickBot="1" x14ac:dyDescent="0.3">
      <c r="A5" s="2" t="s">
        <v>1</v>
      </c>
      <c r="B5" s="3" t="s">
        <v>2</v>
      </c>
      <c r="C5" s="3" t="s">
        <v>3</v>
      </c>
      <c r="D5" s="4" t="s">
        <v>4</v>
      </c>
      <c r="E5" s="3" t="s">
        <v>5</v>
      </c>
      <c r="F5" s="3" t="s">
        <v>6</v>
      </c>
      <c r="G5" s="3" t="s">
        <v>7</v>
      </c>
      <c r="H5" s="4" t="s">
        <v>8</v>
      </c>
      <c r="I5" s="5" t="s">
        <v>9</v>
      </c>
      <c r="L5" s="12" t="s">
        <v>23</v>
      </c>
      <c r="M5" s="20">
        <v>15</v>
      </c>
    </row>
    <row r="6" spans="1:13" x14ac:dyDescent="0.25">
      <c r="A6" s="6">
        <v>1</v>
      </c>
      <c r="B6" s="21">
        <v>8</v>
      </c>
      <c r="C6" s="21">
        <v>6</v>
      </c>
      <c r="D6" s="1">
        <f>B6*C6</f>
        <v>48</v>
      </c>
      <c r="E6" s="21" t="s">
        <v>17</v>
      </c>
      <c r="F6" s="21">
        <v>3</v>
      </c>
      <c r="G6" s="21">
        <v>2</v>
      </c>
      <c r="H6" s="1">
        <f>F6*G6</f>
        <v>6</v>
      </c>
      <c r="I6" s="7">
        <f>D6-H6-2.5</f>
        <v>39.5</v>
      </c>
    </row>
    <row r="7" spans="1:13" x14ac:dyDescent="0.25">
      <c r="A7" s="6">
        <v>2</v>
      </c>
      <c r="B7" s="21">
        <v>7</v>
      </c>
      <c r="C7" s="21">
        <v>7</v>
      </c>
      <c r="D7" s="1">
        <f>B7*C7</f>
        <v>49</v>
      </c>
      <c r="E7" s="21" t="s">
        <v>19</v>
      </c>
      <c r="F7" s="21">
        <v>2</v>
      </c>
      <c r="G7" s="21">
        <v>3</v>
      </c>
      <c r="H7" s="1">
        <f>F7*G7</f>
        <v>6</v>
      </c>
      <c r="I7" s="7">
        <f>D7-H7</f>
        <v>43</v>
      </c>
    </row>
    <row r="8" spans="1:13" x14ac:dyDescent="0.25">
      <c r="A8" s="6">
        <v>3</v>
      </c>
      <c r="B8" s="21">
        <v>9</v>
      </c>
      <c r="C8" s="21">
        <v>9</v>
      </c>
      <c r="D8" s="1">
        <f>B8*C8</f>
        <v>81</v>
      </c>
      <c r="E8" s="21" t="s">
        <v>17</v>
      </c>
      <c r="F8" s="21">
        <v>4</v>
      </c>
      <c r="G8" s="21">
        <v>5</v>
      </c>
      <c r="H8" s="1">
        <f>F8*G8</f>
        <v>20</v>
      </c>
      <c r="I8" s="7">
        <f>D8-H8-2.5</f>
        <v>58.5</v>
      </c>
    </row>
    <row r="9" spans="1:13" ht="15.75" thickBot="1" x14ac:dyDescent="0.3">
      <c r="A9" s="8">
        <v>4</v>
      </c>
      <c r="B9" s="22">
        <v>6</v>
      </c>
      <c r="C9" s="22">
        <v>5</v>
      </c>
      <c r="D9" s="9">
        <f>B9*C9</f>
        <v>30</v>
      </c>
      <c r="E9" s="22" t="s">
        <v>19</v>
      </c>
      <c r="F9" s="22">
        <v>5</v>
      </c>
      <c r="G9" s="22">
        <v>4</v>
      </c>
      <c r="H9" s="13">
        <f>F9*G9</f>
        <v>20</v>
      </c>
      <c r="I9" s="14">
        <f>D9-H9</f>
        <v>10</v>
      </c>
    </row>
    <row r="10" spans="1:13" x14ac:dyDescent="0.25">
      <c r="H10" s="15" t="s">
        <v>18</v>
      </c>
      <c r="I10" s="16">
        <f>I6+I7+I8+I9</f>
        <v>151</v>
      </c>
    </row>
    <row r="11" spans="1:13" x14ac:dyDescent="0.25">
      <c r="H11" s="15" t="s">
        <v>25</v>
      </c>
      <c r="I11" s="16">
        <f>ROUNDUP(I10/5,0)</f>
        <v>31</v>
      </c>
      <c r="K11" s="17" t="s">
        <v>24</v>
      </c>
    </row>
    <row r="12" spans="1:13" x14ac:dyDescent="0.25">
      <c r="H12" s="15" t="s">
        <v>10</v>
      </c>
      <c r="I12" s="16" t="s">
        <v>26</v>
      </c>
      <c r="K12" s="17" t="e">
        <f>I11-(I12*5)</f>
        <v>#VALUE!</v>
      </c>
    </row>
    <row r="13" spans="1:13" x14ac:dyDescent="0.25">
      <c r="H13" s="15" t="s">
        <v>11</v>
      </c>
      <c r="I13" s="16" t="e">
        <f>ROUNDDOWN((K12/3),0)</f>
        <v>#VALUE!</v>
      </c>
      <c r="K13" s="17" t="e">
        <f>K12-I13</f>
        <v>#VALUE!</v>
      </c>
    </row>
    <row r="14" spans="1:13" x14ac:dyDescent="0.25">
      <c r="H14" s="15" t="s">
        <v>12</v>
      </c>
      <c r="I14" s="16" t="e">
        <f>ROUNDDOWN((K13/2),0)</f>
        <v>#VALUE!</v>
      </c>
      <c r="K14" s="17" t="e">
        <f>K13-(I14*2)</f>
        <v>#VALUE!</v>
      </c>
    </row>
    <row r="15" spans="1:13" x14ac:dyDescent="0.25">
      <c r="H15" s="15" t="s">
        <v>13</v>
      </c>
      <c r="I15" s="16" t="e">
        <f>ROUNDDOWN(K14/1,0)</f>
        <v>#VALUE!</v>
      </c>
      <c r="K15" s="17" t="e">
        <f>K14-(I15*1)</f>
        <v>#VALUE!</v>
      </c>
    </row>
    <row r="16" spans="1:13" x14ac:dyDescent="0.25">
      <c r="H16" s="17"/>
      <c r="I16" s="16"/>
    </row>
    <row r="17" spans="8:9" x14ac:dyDescent="0.25">
      <c r="H17" s="15" t="s">
        <v>14</v>
      </c>
      <c r="I17" s="16" t="e">
        <f>(I12*M2)+(I13*M3)+(I14*M4)+(I15*M5)</f>
        <v>#VALUE!</v>
      </c>
    </row>
    <row r="18" spans="8:9" x14ac:dyDescent="0.25">
      <c r="H18" s="15" t="s">
        <v>15</v>
      </c>
      <c r="I18" s="16">
        <f>I10*J2</f>
        <v>0</v>
      </c>
    </row>
    <row r="19" spans="8:9" x14ac:dyDescent="0.25">
      <c r="H19" s="15" t="s">
        <v>16</v>
      </c>
      <c r="I19" s="16" t="e">
        <f>I17+I18</f>
        <v>#VALUE!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209227</dc:creator>
  <cp:lastModifiedBy>209227</cp:lastModifiedBy>
  <dcterms:created xsi:type="dcterms:W3CDTF">2025-09-16T08:45:29Z</dcterms:created>
  <dcterms:modified xsi:type="dcterms:W3CDTF">2025-09-29T14:42:35Z</dcterms:modified>
</cp:coreProperties>
</file>